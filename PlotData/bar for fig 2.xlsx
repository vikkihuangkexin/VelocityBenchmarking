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huang6\Documents\2024Velocity\Fig\Velocity_Fig_2_3_KH\PlotData\"/>
    </mc:Choice>
  </mc:AlternateContent>
  <xr:revisionPtr revIDLastSave="0" documentId="13_ncr:1_{5693D2E4-5C57-44CE-94B8-16B3F0FFAE50}" xr6:coauthVersionLast="47" xr6:coauthVersionMax="47" xr10:uidLastSave="{00000000-0000-0000-0000-000000000000}"/>
  <bookViews>
    <workbookView xWindow="6660" yWindow="3315" windowWidth="21600" windowHeight="1129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7" i="1"/>
  <c r="B8" i="1"/>
  <c r="B9" i="1"/>
  <c r="B4" i="1"/>
  <c r="B3" i="1"/>
  <c r="B19" i="1"/>
  <c r="B18" i="1"/>
  <c r="B17" i="1"/>
  <c r="B15" i="1"/>
  <c r="B14" i="1"/>
  <c r="B2" i="1"/>
  <c r="B13" i="1"/>
  <c r="B12" i="1"/>
  <c r="B10" i="1"/>
  <c r="B5" i="1"/>
  <c r="B6" i="1"/>
  <c r="B22" i="1"/>
  <c r="B16" i="1"/>
  <c r="B20" i="1"/>
  <c r="B21" i="1"/>
</calcChain>
</file>

<file path=xl/sharedStrings.xml><?xml version="1.0" encoding="utf-8"?>
<sst xmlns="http://schemas.openxmlformats.org/spreadsheetml/2006/main" count="27" uniqueCount="27">
  <si>
    <t>Overall</t>
    <phoneticPr fontId="1" type="noConversion"/>
  </si>
  <si>
    <t>Scalability</t>
    <phoneticPr fontId="1" type="noConversion"/>
  </si>
  <si>
    <t>Stability</t>
    <phoneticPr fontId="1" type="noConversion"/>
  </si>
  <si>
    <t>Usability</t>
    <phoneticPr fontId="1" type="noConversion"/>
  </si>
  <si>
    <t>Method</t>
  </si>
  <si>
    <t>cell2fate</t>
  </si>
  <si>
    <t>cellDancer</t>
  </si>
  <si>
    <t>DeepVelo</t>
  </si>
  <si>
    <t>k-velo</t>
  </si>
  <si>
    <t>LatentVelo</t>
  </si>
  <si>
    <t>NeuroVelo</t>
  </si>
  <si>
    <t>PhyloVelo</t>
  </si>
  <si>
    <t>Pyro-Velocity</t>
  </si>
  <si>
    <t>Region Velocity</t>
  </si>
  <si>
    <t>scVelo dynamical</t>
  </si>
  <si>
    <t>scVelo stochastic</t>
  </si>
  <si>
    <t>SDEvelo</t>
  </si>
  <si>
    <t>STT</t>
  </si>
  <si>
    <t>TFvelo</t>
  </si>
  <si>
    <t>TopicVelo</t>
  </si>
  <si>
    <t>UniTVelo</t>
  </si>
  <si>
    <t>VeloAE</t>
  </si>
  <si>
    <t>velocyto</t>
  </si>
  <si>
    <t>VeloVAE</t>
  </si>
  <si>
    <t>veloVI</t>
  </si>
  <si>
    <t>Accuracy(real+simulate)</t>
    <phoneticPr fontId="1" type="noConversion"/>
  </si>
  <si>
    <t>scRNAkinetics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</si>
</sst>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C7" sqref="C7"/>
    </sheetView>
  </sheetViews>
  <sheetFormatPr defaultRowHeight="14.25"/>
  <cols>
    <col min="1" max="1" width="20.25" style="1" customWidth="1"/>
    <col min="3" max="3" width="21.375" customWidth="1"/>
    <col min="4" max="4" width="15.125" customWidth="1"/>
  </cols>
  <sheetData>
    <row r="1" spans="1:6">
      <c r="A1" s="1" t="s">
        <v>4</v>
      </c>
      <c r="B1" t="s">
        <v>0</v>
      </c>
      <c r="C1" t="s">
        <v>25</v>
      </c>
      <c r="D1" t="s">
        <v>1</v>
      </c>
      <c r="E1" t="s">
        <v>2</v>
      </c>
      <c r="F1" t="s">
        <v>3</v>
      </c>
    </row>
    <row r="2" spans="1:6">
      <c r="A2" s="1" t="s">
        <v>5</v>
      </c>
      <c r="B2">
        <f t="shared" ref="B2:B22" si="0">AVERAGE(C2:F2)</f>
        <v>7.2321428571249999</v>
      </c>
      <c r="C2">
        <v>8.4285714284999997</v>
      </c>
      <c r="D2">
        <v>2.5</v>
      </c>
      <c r="E2" s="1">
        <v>11</v>
      </c>
      <c r="F2" s="1">
        <v>7</v>
      </c>
    </row>
    <row r="3" spans="1:6">
      <c r="A3" s="1" t="s">
        <v>6</v>
      </c>
      <c r="B3">
        <f t="shared" si="0"/>
        <v>11.669642857125</v>
      </c>
      <c r="C3">
        <v>7.1785714284999997</v>
      </c>
      <c r="D3">
        <v>14.5</v>
      </c>
      <c r="E3" s="1">
        <v>18</v>
      </c>
      <c r="F3" s="1">
        <v>7</v>
      </c>
    </row>
    <row r="4" spans="1:6">
      <c r="A4" s="1" t="s">
        <v>7</v>
      </c>
      <c r="B4">
        <f t="shared" si="0"/>
        <v>11.16741071375</v>
      </c>
      <c r="C4">
        <v>10.669642854999999</v>
      </c>
      <c r="D4">
        <v>12</v>
      </c>
      <c r="E4" s="1">
        <v>14</v>
      </c>
      <c r="F4" s="1">
        <v>8</v>
      </c>
    </row>
    <row r="5" spans="1:6">
      <c r="A5" s="1" t="s">
        <v>8</v>
      </c>
      <c r="B5">
        <f t="shared" si="0"/>
        <v>6.3571428571249999</v>
      </c>
      <c r="C5">
        <v>8.4285714284999997</v>
      </c>
      <c r="D5">
        <v>10</v>
      </c>
      <c r="E5" s="1">
        <v>0</v>
      </c>
      <c r="F5" s="1">
        <v>7</v>
      </c>
    </row>
    <row r="6" spans="1:6">
      <c r="A6" s="1" t="s">
        <v>9</v>
      </c>
      <c r="B6">
        <f t="shared" si="0"/>
        <v>9.609375</v>
      </c>
      <c r="C6">
        <v>9.9375</v>
      </c>
      <c r="D6">
        <v>9.5</v>
      </c>
      <c r="E6" s="1">
        <v>12</v>
      </c>
      <c r="F6" s="1">
        <v>7</v>
      </c>
    </row>
    <row r="7" spans="1:6">
      <c r="A7" s="1" t="s">
        <v>10</v>
      </c>
      <c r="B7">
        <f t="shared" si="0"/>
        <v>7.078125</v>
      </c>
      <c r="C7">
        <v>9.8125</v>
      </c>
      <c r="D7">
        <v>8.5</v>
      </c>
      <c r="E7" s="1">
        <v>2</v>
      </c>
      <c r="F7" s="1">
        <v>8</v>
      </c>
    </row>
    <row r="8" spans="1:6">
      <c r="A8" s="1" t="s">
        <v>11</v>
      </c>
      <c r="B8">
        <f t="shared" si="0"/>
        <v>8.1205357142499999</v>
      </c>
      <c r="C8">
        <v>5.9821428569999995</v>
      </c>
      <c r="D8">
        <v>12.5</v>
      </c>
      <c r="E8" s="1">
        <v>6</v>
      </c>
      <c r="F8" s="1">
        <v>8</v>
      </c>
    </row>
    <row r="9" spans="1:6">
      <c r="A9" s="1" t="s">
        <v>12</v>
      </c>
      <c r="B9">
        <f t="shared" si="0"/>
        <v>9.5580357137499998</v>
      </c>
      <c r="C9">
        <v>12.232142854999999</v>
      </c>
      <c r="D9">
        <v>9</v>
      </c>
      <c r="E9" s="1">
        <v>8</v>
      </c>
      <c r="F9" s="1">
        <v>9</v>
      </c>
    </row>
    <row r="10" spans="1:6">
      <c r="A10" s="1" t="s">
        <v>13</v>
      </c>
      <c r="B10">
        <f t="shared" si="0"/>
        <v>1.25</v>
      </c>
      <c r="C10">
        <v>0</v>
      </c>
      <c r="D10">
        <v>0</v>
      </c>
      <c r="E10" s="1">
        <v>0</v>
      </c>
      <c r="F10" s="1">
        <v>5</v>
      </c>
    </row>
    <row r="11" spans="1:6">
      <c r="A11" s="1" t="s">
        <v>26</v>
      </c>
      <c r="B11">
        <f t="shared" si="0"/>
        <v>7.4352678571249999</v>
      </c>
      <c r="C11">
        <v>10.2410714285</v>
      </c>
      <c r="D11">
        <v>9.5</v>
      </c>
      <c r="E11" s="1">
        <v>3</v>
      </c>
      <c r="F11" s="1">
        <v>7</v>
      </c>
    </row>
    <row r="12" spans="1:6">
      <c r="A12" s="1" t="s">
        <v>14</v>
      </c>
      <c r="B12">
        <f t="shared" si="0"/>
        <v>9.1941964286250002</v>
      </c>
      <c r="C12">
        <v>10.276785714500001</v>
      </c>
      <c r="D12">
        <v>16.5</v>
      </c>
      <c r="E12" s="1">
        <v>1</v>
      </c>
      <c r="F12" s="1">
        <v>9</v>
      </c>
    </row>
    <row r="13" spans="1:6">
      <c r="A13" s="1" t="s">
        <v>15</v>
      </c>
      <c r="B13">
        <f t="shared" si="0"/>
        <v>9.875</v>
      </c>
      <c r="C13">
        <v>10.5</v>
      </c>
      <c r="D13">
        <v>15</v>
      </c>
      <c r="E13" s="1">
        <v>5</v>
      </c>
      <c r="F13" s="1">
        <v>9</v>
      </c>
    </row>
    <row r="14" spans="1:6">
      <c r="A14" s="1" t="s">
        <v>16</v>
      </c>
      <c r="B14">
        <f t="shared" si="0"/>
        <v>11.265625</v>
      </c>
      <c r="C14">
        <v>8.5625</v>
      </c>
      <c r="D14">
        <v>9.5</v>
      </c>
      <c r="E14" s="1">
        <v>19</v>
      </c>
      <c r="F14" s="1">
        <v>8</v>
      </c>
    </row>
    <row r="15" spans="1:6">
      <c r="A15" s="1" t="s">
        <v>17</v>
      </c>
      <c r="B15">
        <f t="shared" si="0"/>
        <v>11.18303571375</v>
      </c>
      <c r="C15">
        <v>12.732142854999999</v>
      </c>
      <c r="D15">
        <v>16</v>
      </c>
      <c r="E15" s="1">
        <v>10</v>
      </c>
      <c r="F15" s="1">
        <v>6</v>
      </c>
    </row>
    <row r="16" spans="1:6">
      <c r="A16" s="1" t="s">
        <v>18</v>
      </c>
      <c r="B16">
        <f t="shared" si="0"/>
        <v>8.671875</v>
      </c>
      <c r="C16">
        <v>12.1875</v>
      </c>
      <c r="D16">
        <v>11</v>
      </c>
      <c r="E16" s="1">
        <v>4</v>
      </c>
      <c r="F16" s="1">
        <v>7.5</v>
      </c>
    </row>
    <row r="17" spans="1:6">
      <c r="A17" s="1" t="s">
        <v>19</v>
      </c>
      <c r="B17">
        <f t="shared" si="0"/>
        <v>7.2008928571249999</v>
      </c>
      <c r="C17">
        <v>8.3035714284999997</v>
      </c>
      <c r="D17">
        <v>6.5</v>
      </c>
      <c r="E17" s="1">
        <v>9</v>
      </c>
      <c r="F17" s="1">
        <v>5</v>
      </c>
    </row>
    <row r="18" spans="1:6">
      <c r="A18" s="1" t="s">
        <v>20</v>
      </c>
      <c r="B18">
        <f t="shared" si="0"/>
        <v>10.9977678575</v>
      </c>
      <c r="C18">
        <v>12.99107143</v>
      </c>
      <c r="D18">
        <v>6</v>
      </c>
      <c r="E18" s="1">
        <v>17</v>
      </c>
      <c r="F18" s="1">
        <v>8</v>
      </c>
    </row>
    <row r="19" spans="1:6">
      <c r="A19" s="1" t="s">
        <v>21</v>
      </c>
      <c r="B19">
        <f t="shared" si="0"/>
        <v>10.72991071375</v>
      </c>
      <c r="C19">
        <v>14.919642854999999</v>
      </c>
      <c r="D19">
        <v>5.5</v>
      </c>
      <c r="E19" s="1">
        <v>15</v>
      </c>
      <c r="F19" s="1">
        <v>7.5</v>
      </c>
    </row>
    <row r="20" spans="1:6">
      <c r="A20" s="1" t="s">
        <v>22</v>
      </c>
      <c r="B20">
        <f t="shared" si="0"/>
        <v>9.2901785713749998</v>
      </c>
      <c r="C20">
        <v>10.160714285499999</v>
      </c>
      <c r="D20">
        <v>12.5</v>
      </c>
      <c r="E20" s="1">
        <v>7</v>
      </c>
      <c r="F20" s="1">
        <v>7.5</v>
      </c>
    </row>
    <row r="21" spans="1:6">
      <c r="A21" s="1" t="s">
        <v>23</v>
      </c>
      <c r="B21">
        <f t="shared" si="0"/>
        <v>10.24553571425</v>
      </c>
      <c r="C21">
        <v>7.4821428570000004</v>
      </c>
      <c r="D21">
        <v>13.5</v>
      </c>
      <c r="E21" s="1">
        <v>13</v>
      </c>
      <c r="F21" s="1">
        <v>7</v>
      </c>
    </row>
    <row r="22" spans="1:6">
      <c r="A22" s="1" t="s">
        <v>24</v>
      </c>
      <c r="B22">
        <f t="shared" si="0"/>
        <v>12.57366071375</v>
      </c>
      <c r="C22">
        <v>16.294642854999999</v>
      </c>
      <c r="D22">
        <v>10</v>
      </c>
      <c r="E22" s="1">
        <v>16</v>
      </c>
      <c r="F22" s="1">
        <v>8</v>
      </c>
    </row>
    <row r="23" spans="1:6">
      <c r="F23" s="1"/>
    </row>
    <row r="24" spans="1:6">
      <c r="F24" s="1"/>
    </row>
    <row r="25" spans="1:6">
      <c r="F25" s="1"/>
    </row>
  </sheetData>
  <sortState xmlns:xlrd2="http://schemas.microsoft.com/office/spreadsheetml/2017/richdata2" ref="A2:F26">
    <sortCondition ref="A1:A2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79CE-2135-45FA-A69F-A7335FC27D85}">
  <dimension ref="A1"/>
  <sheetViews>
    <sheetView workbookViewId="0">
      <selection activeCell="A2" sqref="A2"/>
    </sheetView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Kexin</dc:creator>
  <cp:lastModifiedBy>Huang, Kexin</cp:lastModifiedBy>
  <dcterms:created xsi:type="dcterms:W3CDTF">2015-06-05T18:17:20Z</dcterms:created>
  <dcterms:modified xsi:type="dcterms:W3CDTF">2025-12-24T17:00:47Z</dcterms:modified>
</cp:coreProperties>
</file>