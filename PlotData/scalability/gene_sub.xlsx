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khuang6\Documents\2024Velocity\Fig\Velocity_Fig_2_3_KH\PlotData\scalability\"/>
    </mc:Choice>
  </mc:AlternateContent>
  <xr:revisionPtr revIDLastSave="0" documentId="13_ncr:1_{DABFC5D0-10E1-4918-AEE0-02C2725EEB0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6" i="1"/>
  <c r="G7" i="1"/>
  <c r="G8" i="1"/>
  <c r="G9" i="1"/>
  <c r="G11" i="1"/>
  <c r="G12" i="1"/>
  <c r="G13" i="1"/>
  <c r="G14" i="1"/>
  <c r="G15" i="1"/>
  <c r="G16" i="1"/>
  <c r="G17" i="1"/>
  <c r="G18" i="1"/>
  <c r="G19" i="1"/>
  <c r="G20" i="1"/>
  <c r="G21" i="1"/>
  <c r="G22" i="1"/>
  <c r="G2" i="1"/>
</calcChain>
</file>

<file path=xl/sharedStrings.xml><?xml version="1.0" encoding="utf-8"?>
<sst xmlns="http://schemas.openxmlformats.org/spreadsheetml/2006/main" count="30" uniqueCount="30">
  <si>
    <t>Method</t>
  </si>
  <si>
    <t>cell2fate</t>
  </si>
  <si>
    <t>cellDancer</t>
  </si>
  <si>
    <t>DeepVelo</t>
  </si>
  <si>
    <t>k-velo</t>
  </si>
  <si>
    <t>LatentVelo</t>
  </si>
  <si>
    <t>NeuroVelo</t>
  </si>
  <si>
    <t>PhyloVelo</t>
  </si>
  <si>
    <t>Pyro-Velocity</t>
  </si>
  <si>
    <t>Region Velocity</t>
  </si>
  <si>
    <t>scRNAkinetics</t>
  </si>
  <si>
    <t>scVelo dynamical</t>
  </si>
  <si>
    <t>scVelo stochastic</t>
  </si>
  <si>
    <t>SDEvelo</t>
  </si>
  <si>
    <t>STT</t>
  </si>
  <si>
    <t>TFvelo</t>
  </si>
  <si>
    <t>TopicVelo</t>
  </si>
  <si>
    <t>UniTVelo</t>
  </si>
  <si>
    <t>VeloAE</t>
  </si>
  <si>
    <t>velocyto</t>
  </si>
  <si>
    <t>VeloVAE</t>
  </si>
  <si>
    <t>veloVI</t>
  </si>
  <si>
    <t>genesub-bifurcating_cell1000_gene10000_60pct_6022genes</t>
  </si>
  <si>
    <t>genesub-bifurcating_cell1000_gene10000_70pct_7025genes</t>
  </si>
  <si>
    <t>genesub-bifurcating_cell1000_gene10000_80pct_8029genes</t>
  </si>
  <si>
    <t>genesub-bifurcating_cell1000_gene10000_90pct_9032genes</t>
  </si>
  <si>
    <t>genesub-bifurcating_cell1000_gene10000_95pct_9534genes</t>
  </si>
  <si>
    <t>AVG</t>
    <phoneticPr fontId="1" type="noConversion"/>
  </si>
  <si>
    <t>Rank</t>
    <phoneticPr fontId="1" type="noConversion"/>
  </si>
  <si>
    <t>Reversed_rank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</si>
</sst>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M15" sqref="M15"/>
    </sheetView>
  </sheetViews>
  <sheetFormatPr defaultRowHeight="14.25"/>
  <cols>
    <col min="1" max="6" width="9" style="1"/>
  </cols>
  <sheetData>
    <row r="1" spans="1:9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</row>
    <row r="2" spans="1:9">
      <c r="A2" s="1" t="s">
        <v>1</v>
      </c>
      <c r="B2" s="1">
        <v>0.54</v>
      </c>
      <c r="C2" s="1">
        <v>0.52</v>
      </c>
      <c r="D2" s="1">
        <v>0.46</v>
      </c>
      <c r="E2" s="1">
        <v>0.46</v>
      </c>
      <c r="F2" s="1">
        <v>0.5</v>
      </c>
      <c r="G2">
        <f>AVERAGE(B2:F2)</f>
        <v>0.496</v>
      </c>
      <c r="H2" s="1">
        <v>10</v>
      </c>
      <c r="I2" s="1">
        <v>10</v>
      </c>
    </row>
    <row r="3" spans="1:9">
      <c r="A3" s="1" t="s">
        <v>2</v>
      </c>
      <c r="B3" s="1">
        <v>0.52</v>
      </c>
      <c r="C3" s="1">
        <v>0.59</v>
      </c>
      <c r="D3" s="1">
        <v>0.57999999999999996</v>
      </c>
      <c r="E3" s="1">
        <v>0.56999999999999995</v>
      </c>
      <c r="F3" s="1">
        <v>0.56999999999999995</v>
      </c>
      <c r="G3">
        <f>AVERAGE(B3:F3)</f>
        <v>0.56599999999999995</v>
      </c>
      <c r="H3" s="1">
        <v>3</v>
      </c>
      <c r="I3" s="1">
        <v>17</v>
      </c>
    </row>
    <row r="4" spans="1:9">
      <c r="A4" s="1" t="s">
        <v>3</v>
      </c>
      <c r="B4" s="1">
        <v>0.56000000000000005</v>
      </c>
      <c r="C4" s="1">
        <v>0.55000000000000004</v>
      </c>
      <c r="D4" s="1">
        <v>0.54</v>
      </c>
      <c r="E4" s="1">
        <v>0.55000000000000004</v>
      </c>
      <c r="F4" s="1">
        <v>0.54</v>
      </c>
      <c r="G4">
        <f>AVERAGE(B4:F4)</f>
        <v>0.54800000000000004</v>
      </c>
      <c r="H4" s="1">
        <v>6</v>
      </c>
      <c r="I4" s="1">
        <v>14</v>
      </c>
    </row>
    <row r="5" spans="1:9">
      <c r="A5" s="1" t="s">
        <v>4</v>
      </c>
      <c r="G5">
        <v>0</v>
      </c>
      <c r="H5">
        <v>0</v>
      </c>
      <c r="I5">
        <v>0</v>
      </c>
    </row>
    <row r="6" spans="1:9">
      <c r="A6" s="1" t="s">
        <v>5</v>
      </c>
      <c r="B6" s="1">
        <v>0.54</v>
      </c>
      <c r="C6" s="1">
        <v>0.5</v>
      </c>
      <c r="D6" s="1">
        <v>0.47</v>
      </c>
      <c r="E6" s="1">
        <v>0.49</v>
      </c>
      <c r="F6" s="1">
        <v>0.53</v>
      </c>
      <c r="G6">
        <f>AVERAGE(B6:F6)</f>
        <v>0.50600000000000001</v>
      </c>
      <c r="H6" s="1">
        <v>8</v>
      </c>
      <c r="I6" s="1">
        <v>12</v>
      </c>
    </row>
    <row r="7" spans="1:9">
      <c r="A7" s="1" t="s">
        <v>6</v>
      </c>
      <c r="B7" s="1">
        <v>0.54</v>
      </c>
      <c r="C7" s="1">
        <v>0.36</v>
      </c>
      <c r="D7" s="1">
        <v>0.31</v>
      </c>
      <c r="E7" s="1">
        <v>0.46</v>
      </c>
      <c r="F7" s="1">
        <v>0.38</v>
      </c>
      <c r="G7">
        <f>AVERAGE(B7:F7)</f>
        <v>0.41</v>
      </c>
      <c r="H7" s="1">
        <v>18</v>
      </c>
      <c r="I7" s="1">
        <v>2</v>
      </c>
    </row>
    <row r="8" spans="1:9">
      <c r="A8" s="1" t="s">
        <v>7</v>
      </c>
      <c r="B8" s="1">
        <v>0.46</v>
      </c>
      <c r="C8" s="1">
        <v>0.46</v>
      </c>
      <c r="D8" s="1">
        <v>0.46</v>
      </c>
      <c r="E8" s="1">
        <v>0.47</v>
      </c>
      <c r="F8" s="1">
        <v>0.45</v>
      </c>
      <c r="G8">
        <f>AVERAGE(B8:F8)</f>
        <v>0.46000000000000008</v>
      </c>
      <c r="H8" s="1">
        <v>13</v>
      </c>
      <c r="I8" s="1">
        <v>7</v>
      </c>
    </row>
    <row r="9" spans="1:9">
      <c r="A9" s="1" t="s">
        <v>8</v>
      </c>
      <c r="B9" s="1">
        <v>0.45</v>
      </c>
      <c r="C9" s="1">
        <v>0.46</v>
      </c>
      <c r="D9" s="1">
        <v>0.51</v>
      </c>
      <c r="E9" s="1">
        <v>0.5</v>
      </c>
      <c r="F9" s="1">
        <v>0.42</v>
      </c>
      <c r="G9">
        <f>AVERAGE(B9:F9)</f>
        <v>0.46799999999999997</v>
      </c>
      <c r="H9" s="1">
        <v>12</v>
      </c>
      <c r="I9" s="1">
        <v>8</v>
      </c>
    </row>
    <row r="10" spans="1:9">
      <c r="A10" s="1" t="s">
        <v>9</v>
      </c>
      <c r="G10">
        <v>0</v>
      </c>
      <c r="H10">
        <v>0</v>
      </c>
      <c r="I10">
        <v>0</v>
      </c>
    </row>
    <row r="11" spans="1:9">
      <c r="A11" s="1" t="s">
        <v>10</v>
      </c>
      <c r="B11" s="1">
        <v>0.43</v>
      </c>
      <c r="C11" s="1">
        <v>0.51</v>
      </c>
      <c r="D11" s="1">
        <v>0.47</v>
      </c>
      <c r="E11" s="1">
        <v>0.31</v>
      </c>
      <c r="F11" s="1">
        <v>0.37</v>
      </c>
      <c r="G11">
        <f>AVERAGE(B11:F11)</f>
        <v>0.41799999999999998</v>
      </c>
      <c r="H11" s="1">
        <v>17</v>
      </c>
      <c r="I11" s="1">
        <v>3</v>
      </c>
    </row>
    <row r="12" spans="1:9">
      <c r="A12" s="1" t="s">
        <v>11</v>
      </c>
      <c r="B12" s="1">
        <v>0.37</v>
      </c>
      <c r="C12" s="1">
        <v>0.31</v>
      </c>
      <c r="D12" s="1">
        <v>0.3</v>
      </c>
      <c r="E12" s="1">
        <v>0.33</v>
      </c>
      <c r="F12" s="1">
        <v>0.33</v>
      </c>
      <c r="G12">
        <f>AVERAGE(B12:F12)</f>
        <v>0.32800000000000001</v>
      </c>
      <c r="H12" s="1">
        <v>19</v>
      </c>
      <c r="I12" s="1">
        <v>1</v>
      </c>
    </row>
    <row r="13" spans="1:9">
      <c r="A13" s="1" t="s">
        <v>12</v>
      </c>
      <c r="B13" s="1">
        <v>0.4</v>
      </c>
      <c r="C13" s="1">
        <v>0.45</v>
      </c>
      <c r="D13" s="1">
        <v>0.44</v>
      </c>
      <c r="E13" s="1">
        <v>0.45</v>
      </c>
      <c r="F13" s="1">
        <v>0.44</v>
      </c>
      <c r="G13">
        <f>AVERAGE(B13:F13)</f>
        <v>0.43600000000000005</v>
      </c>
      <c r="H13" s="1">
        <v>15</v>
      </c>
      <c r="I13" s="1">
        <v>5</v>
      </c>
    </row>
    <row r="14" spans="1:9">
      <c r="A14" s="1" t="s">
        <v>13</v>
      </c>
      <c r="B14" s="1">
        <v>0.44</v>
      </c>
      <c r="C14" s="1">
        <v>0.71</v>
      </c>
      <c r="D14" s="1">
        <v>0.69</v>
      </c>
      <c r="E14" s="1">
        <v>0.6</v>
      </c>
      <c r="F14" s="1">
        <v>0.66</v>
      </c>
      <c r="G14">
        <f>AVERAGE(B14:F14)</f>
        <v>0.62</v>
      </c>
      <c r="H14" s="1">
        <v>1</v>
      </c>
      <c r="I14" s="1">
        <v>19</v>
      </c>
    </row>
    <row r="15" spans="1:9">
      <c r="A15" s="1" t="s">
        <v>14</v>
      </c>
      <c r="B15" s="1">
        <v>0.47</v>
      </c>
      <c r="C15" s="1">
        <v>0.5</v>
      </c>
      <c r="D15" s="1">
        <v>0.53</v>
      </c>
      <c r="E15" s="1">
        <v>0.49</v>
      </c>
      <c r="F15" s="1">
        <v>0.49</v>
      </c>
      <c r="G15">
        <f>AVERAGE(B15:F15)</f>
        <v>0.496</v>
      </c>
      <c r="H15" s="1">
        <v>9</v>
      </c>
      <c r="I15" s="1">
        <v>11</v>
      </c>
    </row>
    <row r="16" spans="1:9">
      <c r="A16" s="1" t="s">
        <v>15</v>
      </c>
      <c r="B16" s="1">
        <v>0.44</v>
      </c>
      <c r="C16" s="1">
        <v>0.4</v>
      </c>
      <c r="D16" s="1">
        <v>0.4</v>
      </c>
      <c r="E16" s="1">
        <v>0.45</v>
      </c>
      <c r="F16" s="1">
        <v>0.44</v>
      </c>
      <c r="G16">
        <f>AVERAGE(B16:F16)</f>
        <v>0.42600000000000005</v>
      </c>
      <c r="H16" s="1">
        <v>16</v>
      </c>
      <c r="I16" s="1">
        <v>4</v>
      </c>
    </row>
    <row r="17" spans="1:9">
      <c r="A17" s="1" t="s">
        <v>16</v>
      </c>
      <c r="B17" s="1">
        <v>0.5</v>
      </c>
      <c r="F17" s="1">
        <v>0.49</v>
      </c>
      <c r="G17">
        <f>AVERAGE(B17:F17)</f>
        <v>0.495</v>
      </c>
      <c r="H17" s="1">
        <v>11</v>
      </c>
      <c r="I17" s="1">
        <v>9</v>
      </c>
    </row>
    <row r="18" spans="1:9">
      <c r="A18" s="1" t="s">
        <v>17</v>
      </c>
      <c r="B18" s="1">
        <v>0.51</v>
      </c>
      <c r="C18" s="1">
        <v>0.56000000000000005</v>
      </c>
      <c r="D18" s="1">
        <v>0.57999999999999996</v>
      </c>
      <c r="E18" s="1">
        <v>0.54</v>
      </c>
      <c r="F18" s="1">
        <v>0.55000000000000004</v>
      </c>
      <c r="G18">
        <f>AVERAGE(B18:F18)</f>
        <v>0.54800000000000004</v>
      </c>
      <c r="H18" s="1">
        <v>5</v>
      </c>
      <c r="I18" s="1">
        <v>15</v>
      </c>
    </row>
    <row r="19" spans="1:9">
      <c r="A19" s="1" t="s">
        <v>18</v>
      </c>
      <c r="B19" s="1">
        <v>0.72</v>
      </c>
      <c r="C19" s="1">
        <v>0.73</v>
      </c>
      <c r="D19" s="1">
        <v>0.3</v>
      </c>
      <c r="E19" s="1">
        <v>0.71</v>
      </c>
      <c r="F19" s="1">
        <v>0.28000000000000003</v>
      </c>
      <c r="G19">
        <f>AVERAGE(B19:F19)</f>
        <v>0.54800000000000004</v>
      </c>
      <c r="H19" s="1">
        <v>4</v>
      </c>
      <c r="I19" s="1">
        <v>16</v>
      </c>
    </row>
    <row r="20" spans="1:9">
      <c r="A20" s="1" t="s">
        <v>19</v>
      </c>
      <c r="B20" s="1">
        <v>0.44</v>
      </c>
      <c r="C20" s="1">
        <v>0.44</v>
      </c>
      <c r="D20" s="1">
        <v>0.46</v>
      </c>
      <c r="E20" s="1">
        <v>0.47</v>
      </c>
      <c r="F20" s="1">
        <v>0.46</v>
      </c>
      <c r="G20">
        <f>AVERAGE(B20:F20)</f>
        <v>0.45400000000000001</v>
      </c>
      <c r="H20" s="1">
        <v>14</v>
      </c>
      <c r="I20" s="1">
        <v>6</v>
      </c>
    </row>
    <row r="21" spans="1:9">
      <c r="A21" s="1" t="s">
        <v>20</v>
      </c>
      <c r="B21" s="1">
        <v>0.47</v>
      </c>
      <c r="C21" s="1">
        <v>0.56000000000000005</v>
      </c>
      <c r="D21" s="1">
        <v>0.52</v>
      </c>
      <c r="E21" s="1">
        <v>0.53</v>
      </c>
      <c r="F21" s="1">
        <v>0.56000000000000005</v>
      </c>
      <c r="G21">
        <f>AVERAGE(B21:F21)</f>
        <v>0.52800000000000002</v>
      </c>
      <c r="H21" s="1">
        <v>7</v>
      </c>
      <c r="I21" s="1">
        <v>13</v>
      </c>
    </row>
    <row r="22" spans="1:9">
      <c r="A22" s="1" t="s">
        <v>21</v>
      </c>
      <c r="B22" s="1">
        <v>0.6</v>
      </c>
      <c r="C22" s="1">
        <v>0.51</v>
      </c>
      <c r="D22" s="1">
        <v>0.57999999999999996</v>
      </c>
      <c r="E22" s="1">
        <v>0.6</v>
      </c>
      <c r="F22" s="1">
        <v>0.56999999999999995</v>
      </c>
      <c r="G22">
        <f>AVERAGE(B22:F22)</f>
        <v>0.57199999999999995</v>
      </c>
      <c r="H22" s="1">
        <v>2</v>
      </c>
      <c r="I22" s="1">
        <v>18</v>
      </c>
    </row>
  </sheetData>
  <sortState xmlns:xlrd2="http://schemas.microsoft.com/office/spreadsheetml/2017/richdata2" ref="A2:I22">
    <sortCondition ref="A1:A2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Kexin</dc:creator>
  <cp:lastModifiedBy>Huang, Kexin</cp:lastModifiedBy>
  <dcterms:created xsi:type="dcterms:W3CDTF">2015-06-05T18:17:20Z</dcterms:created>
  <dcterms:modified xsi:type="dcterms:W3CDTF">2025-12-11T23:40:31Z</dcterms:modified>
</cp:coreProperties>
</file>